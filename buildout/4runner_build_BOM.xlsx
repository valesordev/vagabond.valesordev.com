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(Owned)" sheetId="1" state="visible" r:id="rId3"/>
    <sheet name="Platform Materials" sheetId="2" state="visible" r:id="rId4"/>
    <sheet name="Accessories &amp; Add-ons" sheetId="3" state="visible" r:id="rId5"/>
    <sheet name="Budge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<sst xmlns="http://schemas.openxmlformats.org/spreadsheetml/2006/main" count="356" uniqueCount="272">
  <si>
    <t xml:space="preserve">4RUNNER BUILD — EQUIPMENT INVENTORY &amp; SPECIFICATIONS</t>
  </si>
  <si>
    <t xml:space="preserve">5th Gen Toyota 4Runner  ·  Digital Nomad / Off-Road Build  ·  Equipment You Already Own</t>
  </si>
  <si>
    <t xml:space="preserve">Category</t>
  </si>
  <si>
    <t xml:space="preserve">Item</t>
  </si>
  <si>
    <t xml:space="preserve">Model / Spec</t>
  </si>
  <si>
    <t xml:space="preserve">Qty</t>
  </si>
  <si>
    <t xml:space="preserve">Unit Weight
(lbs)</t>
  </si>
  <si>
    <t xml:space="preserve">Dimensions (stored)</t>
  </si>
  <si>
    <t xml:space="preserve">Capacity /
Output</t>
  </si>
  <si>
    <t xml:space="preserve">Input Spec</t>
  </si>
  <si>
    <t xml:space="preserve">Key Notes</t>
  </si>
  <si>
    <t xml:space="preserve">Est. Retail
(each $)</t>
  </si>
  <si>
    <t xml:space="preserve">Est. Retail
(total $)</t>
  </si>
  <si>
    <t xml:space="preserve">Power Station</t>
  </si>
  <si>
    <t xml:space="preserve">Jackery Explorer 2000 v2</t>
  </si>
  <si>
    <t xml:space="preserve">2042Wh LiFePO4, 2200W AC</t>
  </si>
  <si>
    <t xml:space="preserve">15.1" × 10.5" × 12.7"</t>
  </si>
  <si>
    <t xml:space="preserve">AC: 2200W (surge 4400W)
2×DC5521 12V/10A
2×USB-C 100W
2×USB-A 18W</t>
  </si>
  <si>
    <t xml:space="preserve">Solar: XT60, 12–68V, 11A, 600W max
12V car: 100W
AC wall: 1440W</t>
  </si>
  <si>
    <t xml:space="preserve">Primary station. Supports 3× SolarSaga panels. LFP rated 2000+ cycles to 80% SOH. App monitoring via Bluetooth.</t>
  </si>
  <si>
    <t xml:space="preserve">Jackery Explorer 1000 v2</t>
  </si>
  <si>
    <t xml:space="preserve">1070Wh LiFePO4, 1000W AC</t>
  </si>
  <si>
    <t xml:space="preserve">13.4" × 9.3" × 9.7"</t>
  </si>
  <si>
    <t xml:space="preserve">AC: 1000W (surge 2000W)
1×DC5521 12V/5A
2×USB-C 100W
2×USB-A 18W</t>
  </si>
  <si>
    <t xml:space="preserve">Solar: XT60, 12–30V, 10A, 400W max
12V car: 65W
AC wall: 800W</t>
  </si>
  <si>
    <t xml:space="preserve">Secondary / portable. Can be carried to campsite. LFP rated 3000+ cycles. Charges to 80% in ~1hr with wall outlet.</t>
  </si>
  <si>
    <t xml:space="preserve">Solar</t>
  </si>
  <si>
    <t xml:space="preserve">Jackery SolarSaga 200W</t>
  </si>
  <si>
    <t xml:space="preserve">200W monocrystalline, foldable</t>
  </si>
  <si>
    <t xml:space="preserve">24.2" × 21.1" × 1.2" (folded)</t>
  </si>
  <si>
    <t xml:space="preserve">200W peak
20.4V Vmp / 9.8A Imp
24.3V Voc / 10.5A Isc</t>
  </si>
  <si>
    <t xml:space="preserve">XT60 output to Jackery
USB-A 5V/2.4A
USB-C 5V/3A</t>
  </si>
  <si>
    <t xml:space="preserve">Portable / deployable at camp. Store flat in cargo during transit. Y-cable allows 2 panels → 2000v2 (400W combined). Each panel: ~47" × 42" deployed.</t>
  </si>
  <si>
    <t xml:space="preserve">Cooling</t>
  </si>
  <si>
    <t xml:space="preserve">BougeRV 23 Quart Cooler</t>
  </si>
  <si>
    <t xml:space="preserve">Compressor, -4°F to 68°F, ~22L</t>
  </si>
  <si>
    <t xml:space="preserve">19.7" × 11.6" × 12.7"</t>
  </si>
  <si>
    <t xml:space="preserve">23 qt / ~22L capacity
-4°F to 68°F range
ECO mode: ~10–15W avg</t>
  </si>
  <si>
    <t xml:space="preserve">12V DC / 24V DC
110–240V AC
35–45W typical draw</t>
  </si>
  <si>
    <t xml:space="preserve">Run off 12V DC port on Jackery 2000v2 for efficiency. Bluetooth app (BougeRV app) for temp monitoring. Insulated lid adds ~2" to height when open.</t>
  </si>
  <si>
    <t xml:space="preserve">Connectivity</t>
  </si>
  <si>
    <t xml:space="preserve">Starlink Mini</t>
  </si>
  <si>
    <t xml:space="preserve">Flat-panel satellite internet</t>
  </si>
  <si>
    <t xml:space="preserve">11.4" × 9.8" × 1.4" (antenna)</t>
  </si>
  <si>
    <t xml:space="preserve">50–200+ Mbps download
~25W active draw
5W standby</t>
  </si>
  <si>
    <t xml:space="preserve">USB-C PD 30W (router)
PoE 48V (antenna via injector)
Total: ~25–40W</t>
  </si>
  <si>
    <t xml:space="preserve">Antenna: 11.4"×9.8"×1.4". Mount options: roof rack, suction cup window, or magnetic. Router: ~4"×4"×0.8". Kit includes PoE injector + cables. Service: ~$50/mo.</t>
  </si>
  <si>
    <t xml:space="preserve">OWNED EQUIPMENT — ESTIMATED RETAIL TOTAL</t>
  </si>
  <si>
    <t xml:space="preserve">⚡  Blue prices = hardcoded inputs you can update. Retail estimates as of early 2026 — actual purchase prices may vary. SolarSaga qty 2 represents both panels.</t>
  </si>
  <si>
    <t xml:space="preserve">4RUNNER BUILD — PLATFORM &amp; STRUCTURAL MATERIALS</t>
  </si>
  <si>
    <t xml:space="preserve">Materials for sleeping platform, drawer system, and interior framing  ·  Prices are estimates — verify locally</t>
  </si>
  <si>
    <t xml:space="preserve">Item / Material</t>
  </si>
  <si>
    <t xml:space="preserve">Spec / Grade</t>
  </si>
  <si>
    <t xml:space="preserve">Unit</t>
  </si>
  <si>
    <t xml:space="preserve">Est. Unit Price ($)</t>
  </si>
  <si>
    <t xml:space="preserve">Est. Total ($)</t>
  </si>
  <si>
    <t xml:space="preserve">Where to Buy</t>
  </si>
  <si>
    <t xml:space="preserve">Notes</t>
  </si>
  <si>
    <t xml:space="preserve">Platform Frame</t>
  </si>
  <si>
    <t xml:space="preserve">3/4" Baltic Birch Plywood</t>
  </si>
  <si>
    <t xml:space="preserve">5-ply, void-free, 4×8 sheet</t>
  </si>
  <si>
    <t xml:space="preserve">sheet</t>
  </si>
  <si>
    <t xml:space="preserve">Home Depot / Lowe's</t>
  </si>
  <si>
    <t xml:space="preserve">Cut for platform base &amp; support ribs. BB ply preferred for strength/weight.</t>
  </si>
  <si>
    <t xml:space="preserve">1.5"×1.5"×1/8" Aluminum Angle</t>
  </si>
  <si>
    <t xml:space="preserve">6061-T6, 8ft lengths</t>
  </si>
  <si>
    <t xml:space="preserve">pc</t>
  </si>
  <si>
    <t xml:space="preserve">Online Metals / Metal Supermarkets</t>
  </si>
  <si>
    <t xml:space="preserve">Longitudinal support rails. Lighter than steel, won't rust.</t>
  </si>
  <si>
    <t xml:space="preserve">80/20 T-Slot Extrusion 1010</t>
  </si>
  <si>
    <t xml:space="preserve">1"×1", 8ft lengths (alt to angle)</t>
  </si>
  <si>
    <t xml:space="preserve">80/20 Inc / Amazon</t>
  </si>
  <si>
    <t xml:space="preserve">Alternative to aluminum angle. Easier to adjust, more expensive.</t>
  </si>
  <si>
    <t xml:space="preserve">Threaded Insert Rivnuts M6</t>
  </si>
  <si>
    <t xml:space="preserve">Steel, 50-pack</t>
  </si>
  <si>
    <t xml:space="preserve">pack</t>
  </si>
  <si>
    <t xml:space="preserve">Amazon</t>
  </si>
  <si>
    <t xml:space="preserve">For attaching platform frame to 4Runner cargo floor anchor points.</t>
  </si>
  <si>
    <t xml:space="preserve">Platform Top</t>
  </si>
  <si>
    <t xml:space="preserve">3/4" Plywood — Finished Top</t>
  </si>
  <si>
    <t xml:space="preserve">Maple or birch, sanded</t>
  </si>
  <si>
    <t xml:space="preserve">Platform sleeping surface. Consider 1/2" to save weight.</t>
  </si>
  <si>
    <t xml:space="preserve">Carpet or Liner (optional)</t>
  </si>
  <si>
    <t xml:space="preserve">Automotive carpet, 1 yd</t>
  </si>
  <si>
    <t xml:space="preserve">yd</t>
  </si>
  <si>
    <t xml:space="preserve">Auto parts / Amazon</t>
  </si>
  <si>
    <t xml:space="preserve">Soft surface, reduces noise. Alternative: rubberized liner or paint.</t>
  </si>
  <si>
    <t xml:space="preserve">Drawers</t>
  </si>
  <si>
    <t xml:space="preserve">Drawer Slides — Full Extension</t>
  </si>
  <si>
    <t xml:space="preserve">100 lb rating, 18" length, pair</t>
  </si>
  <si>
    <t xml:space="preserve">pair</t>
  </si>
  <si>
    <t xml:space="preserve">Rockler / Amazon</t>
  </si>
  <si>
    <t xml:space="preserve">Heavy-duty for gear drawers. Full extension for access.</t>
  </si>
  <si>
    <t xml:space="preserve">1/2" Plywood — Drawer Boxes</t>
  </si>
  <si>
    <t xml:space="preserve">For drawer sides/bottom/front</t>
  </si>
  <si>
    <t xml:space="preserve">One sheet typically yields both drawer boxes.</t>
  </si>
  <si>
    <t xml:space="preserve">Drawer Handles/Pulls</t>
  </si>
  <si>
    <t xml:space="preserve">Surface mount, stainless</t>
  </si>
  <si>
    <t xml:space="preserve">ea</t>
  </si>
  <si>
    <t xml:space="preserve">Amazon / hardware store</t>
  </si>
  <si>
    <t xml:space="preserve">Grab handles on drawer fronts.</t>
  </si>
  <si>
    <t xml:space="preserve">Cam Latch / Draw Catch</t>
  </si>
  <si>
    <t xml:space="preserve">For holding drawers closed while driving</t>
  </si>
  <si>
    <t xml:space="preserve">Prevents drawers from sliding open on rough roads.</t>
  </si>
  <si>
    <t xml:space="preserve">Sleeping</t>
  </si>
  <si>
    <t xml:space="preserve">Closed-Cell Foam Pad</t>
  </si>
  <si>
    <t xml:space="preserve">3.5" thick, 66"×44", density 2.0 lb/ft³</t>
  </si>
  <si>
    <t xml:space="preserve">Amazon / Foam Factory</t>
  </si>
  <si>
    <t xml:space="preserve">Cut to fit sleep zone. Closed-cell won't absorb moisture.</t>
  </si>
  <si>
    <t xml:space="preserve">Waterproof Foam Cover / Sheet</t>
  </si>
  <si>
    <t xml:space="preserve">Fitted or zippered, breathable</t>
  </si>
  <si>
    <t xml:space="preserve">Protects foam from spills and condensation.</t>
  </si>
  <si>
    <t xml:space="preserve">Hardware</t>
  </si>
  <si>
    <t xml:space="preserve">Stainless M6 Bolts/Nuts/Washers</t>
  </si>
  <si>
    <t xml:space="preserve">M6×20, M6×30, 50-pack each</t>
  </si>
  <si>
    <t xml:space="preserve">Amazon / Fastenal</t>
  </si>
  <si>
    <t xml:space="preserve">Primary structural fasteners. Use stainless to prevent rust.</t>
  </si>
  <si>
    <t xml:space="preserve">Wood Screws 1-1/4" &amp; 2"</t>
  </si>
  <si>
    <t xml:space="preserve">Phillips head, box of 100</t>
  </si>
  <si>
    <t xml:space="preserve">box</t>
  </si>
  <si>
    <t xml:space="preserve">Home Depot</t>
  </si>
  <si>
    <t xml:space="preserve">For assembling plywood components.</t>
  </si>
  <si>
    <t xml:space="preserve">Pocket Hole Screws 1-1/4"</t>
  </si>
  <si>
    <t xml:space="preserve">For Kreg jig joinery</t>
  </si>
  <si>
    <t xml:space="preserve">Home Depot / Rockler</t>
  </si>
  <si>
    <t xml:space="preserve">Strong hidden joints on drawer boxes.</t>
  </si>
  <si>
    <t xml:space="preserve">Construction Adhesive</t>
  </si>
  <si>
    <t xml:space="preserve">Liquid Nails or PL Premium, tube</t>
  </si>
  <si>
    <t xml:space="preserve">tube</t>
  </si>
  <si>
    <t xml:space="preserve">Supplement for gluing layers.</t>
  </si>
  <si>
    <t xml:space="preserve">Insulation</t>
  </si>
  <si>
    <t xml:space="preserve">Thinsulate SM600L (optional)</t>
  </si>
  <si>
    <t xml:space="preserve">1/4", 60"×36" sheet</t>
  </si>
  <si>
    <t xml:space="preserve">Optional under-platform insulation for condensation control.</t>
  </si>
  <si>
    <t xml:space="preserve">Reflectix Double Bubble</t>
  </si>
  <si>
    <t xml:space="preserve">1/4", 24"×25ft roll</t>
  </si>
  <si>
    <t xml:space="preserve">roll</t>
  </si>
  <si>
    <t xml:space="preserve">Home Depot / Amazon</t>
  </si>
  <si>
    <t xml:space="preserve">Window covers for stealth + thermal; also useful under platform.</t>
  </si>
  <si>
    <t xml:space="preserve">Interior</t>
  </si>
  <si>
    <t xml:space="preserve">Privacy Curtain Rod / Rail</t>
  </si>
  <si>
    <t xml:space="preserve">Tension or C-channel, 52-54" width</t>
  </si>
  <si>
    <t xml:space="preserve">Amazon / IKEA</t>
  </si>
  <si>
    <t xml:space="preserve">Mounts C-pillar to C-pillar at rear section joint line.</t>
  </si>
  <si>
    <t xml:space="preserve">Blackout Curtain Fabric</t>
  </si>
  <si>
    <t xml:space="preserve">52"×45" panel, blackout-rated</t>
  </si>
  <si>
    <t xml:space="preserve">Light-blocking privacy curtain for stealth sleeping.</t>
  </si>
  <si>
    <t xml:space="preserve">Power Mounts</t>
  </si>
  <si>
    <t xml:space="preserve">Jackery Station Brackets/Straps</t>
  </si>
  <si>
    <t xml:space="preserve">NRS Buckle Bumper straps or similar</t>
  </si>
  <si>
    <t xml:space="preserve">REI / Amazon</t>
  </si>
  <si>
    <t xml:space="preserve">Secure Jackery units during offroad driving. 1" webbing straps with anchor to cargo tie-down points.</t>
  </si>
  <si>
    <t xml:space="preserve">Non-Slip Rubber Mat</t>
  </si>
  <si>
    <t xml:space="preserve">12"×16", 1/4" thick, shelf liner grade</t>
  </si>
  <si>
    <t xml:space="preserve">Amazon / hardware</t>
  </si>
  <si>
    <t xml:space="preserve">Under each Jackery station on platform.</t>
  </si>
  <si>
    <t xml:space="preserve">Tools / Supplies</t>
  </si>
  <si>
    <t xml:space="preserve">Sandpaper (80, 120, 220 grit)</t>
  </si>
  <si>
    <t xml:space="preserve">Pack, 1 each</t>
  </si>
  <si>
    <t xml:space="preserve">Surface prep between coats/layers.</t>
  </si>
  <si>
    <t xml:space="preserve">Danish Oil or Polyurethane Finish</t>
  </si>
  <si>
    <t xml:space="preserve">Quart, for plywood surfaces</t>
  </si>
  <si>
    <t xml:space="preserve">qt</t>
  </si>
  <si>
    <t xml:space="preserve">Seal and protect exposed wood surfaces.</t>
  </si>
  <si>
    <t xml:space="preserve">PLATFORM MATERIALS — ESTIMATED TOTAL</t>
  </si>
  <si>
    <t xml:space="preserve">⚡  Blue prices = hardcoded inputs. Many items are interchangeable — e.g., 80/20 extrusion vs aluminum angle, or 1/2" vs 3/4" plywood. Consider borrowing tools (table saw, pocket hole jig) from a makerspace.</t>
  </si>
  <si>
    <t xml:space="preserve">4RUNNER BUILD — ACCESSORIES, ADD-ONS &amp; CONSUMABLES</t>
  </si>
  <si>
    <t xml:space="preserve">Items not yet owned — cables, adapters, mounts, and digital nomad essentials</t>
  </si>
  <si>
    <t xml:space="preserve">Priority</t>
  </si>
  <si>
    <t xml:space="preserve">Est. Price ($)</t>
  </si>
  <si>
    <t xml:space="preserve">HIGH</t>
  </si>
  <si>
    <t xml:space="preserve">SolarSaga Y-Connector (parallel adapter)</t>
  </si>
  <si>
    <t xml:space="preserve">Amazon / Jackery</t>
  </si>
  <si>
    <t xml:space="preserve">Allows 2× SolarSaga 200W panels to charge 2000v2 simultaneously via single XT60.</t>
  </si>
  <si>
    <t xml:space="preserve">Jackery SolarSaga DC charging cable (XT60 extension 3m)</t>
  </si>
  <si>
    <t xml:space="preserve">Jackery / Amazon</t>
  </si>
  <si>
    <t xml:space="preserve">Extra length for panel placement flexibility at camp.</t>
  </si>
  <si>
    <t xml:space="preserve">StarLink Mini Window/Roof Mount</t>
  </si>
  <si>
    <t xml:space="preserve">Suction cup or magnetic mount. Allows antenna placement on windshield or roof.</t>
  </si>
  <si>
    <t xml:space="preserve">Power</t>
  </si>
  <si>
    <t xml:space="preserve">Jackery Car Charger Cable for 2000v2</t>
  </si>
  <si>
    <t xml:space="preserve">Jackery</t>
  </si>
  <si>
    <t xml:space="preserve">Charge 2000v2 from 12V outlet while driving. ~100W input.</t>
  </si>
  <si>
    <t xml:space="preserve">Safety</t>
  </si>
  <si>
    <t xml:space="preserve">Carbon Monoxide Detector</t>
  </si>
  <si>
    <t xml:space="preserve">Amazon / Home Depot</t>
  </si>
  <si>
    <t xml:space="preserve">Critical for enclosed sleeping. Battery-powered or USB-C.</t>
  </si>
  <si>
    <t xml:space="preserve">Fire Extinguisher (mini, 2.5 lb)</t>
  </si>
  <si>
    <t xml:space="preserve">Amazon / Auto parts</t>
  </si>
  <si>
    <t xml:space="preserve">Mount in accessible location. ABC class.</t>
  </si>
  <si>
    <t xml:space="preserve">MED</t>
  </si>
  <si>
    <t xml:space="preserve">USB-C Hub / Dock (7-in-1 or 9-in-1)</t>
  </si>
  <si>
    <t xml:space="preserve">Amazon / Anker</t>
  </si>
  <si>
    <t xml:space="preserve">Expand USB-C ports for laptop + peripherals. Choose one with 100W PD passthrough.</t>
  </si>
  <si>
    <t xml:space="preserve">12V LED Strip Lights (warm white, 2m)</t>
  </si>
  <si>
    <t xml:space="preserve">Interior ambient lighting. Low draw (~3W/m). Dimmer optional.</t>
  </si>
  <si>
    <t xml:space="preserve">12V USB Outlet Panel (flush mount)</t>
  </si>
  <si>
    <t xml:space="preserve">Clean panel-mount USB-A + 12V outlets inside cargo area.</t>
  </si>
  <si>
    <t xml:space="preserve">Ventilation</t>
  </si>
  <si>
    <t xml:space="preserve">Maxxair 00-07000K Roof Vent Fan</t>
  </si>
  <si>
    <t xml:space="preserve">Amazon / Camping World</t>
  </si>
  <si>
    <t xml:space="preserve">3-speed, reversible. Requires cutting roof — consider carefully. Alt: Dometic Fan-Tastic 1200 or Hike Crew portable fan.</t>
  </si>
  <si>
    <t xml:space="preserve">Window Screens (magnetic, custom cut)</t>
  </si>
  <si>
    <t xml:space="preserve">Bug protection with windows cracked for airflow.</t>
  </si>
  <si>
    <t xml:space="preserve">Travel Router (GL.iNet Beryl AX)</t>
  </si>
  <si>
    <t xml:space="preserve">Amazon / GL.iNet</t>
  </si>
  <si>
    <t xml:space="preserve">VPN, WiFi sharing from StarLink, ethernet to laptop. Pairs well with StarLink mini ethernet port.</t>
  </si>
  <si>
    <t xml:space="preserve">Work Setup</t>
  </si>
  <si>
    <t xml:space="preserve">Foldable Laptop Desk / Lap Desk</t>
  </si>
  <si>
    <t xml:space="preserve">For in-vehicle work. 17"+ recommended.</t>
  </si>
  <si>
    <t xml:space="preserve">Portable Monitor 15.6" USB-C</t>
  </si>
  <si>
    <t xml:space="preserve">Amazon / Asus</t>
  </si>
  <si>
    <t xml:space="preserve">Dual-monitor setup from Jackery USB-C. ~10W draw.</t>
  </si>
  <si>
    <t xml:space="preserve">LOW</t>
  </si>
  <si>
    <t xml:space="preserve">12V Electric Blanket</t>
  </si>
  <si>
    <t xml:space="preserve">Low-draw alternative to heat for cold nights. ~40-60W.</t>
  </si>
  <si>
    <t xml:space="preserve">Kitchen</t>
  </si>
  <si>
    <t xml:space="preserve">Portable Butane Stove</t>
  </si>
  <si>
    <t xml:space="preserve">Amazon / REI</t>
  </si>
  <si>
    <t xml:space="preserve">Cooking outside the vehicle. Keep butane in ventilated storage.</t>
  </si>
  <si>
    <t xml:space="preserve">Organization</t>
  </si>
  <si>
    <t xml:space="preserve">MOLLE Panel / Gear Wall</t>
  </si>
  <si>
    <t xml:space="preserve">Taloworks / Amazon</t>
  </si>
  <si>
    <t xml:space="preserve">Side-wall organizer panel for tools, snacks, small gear.</t>
  </si>
  <si>
    <t xml:space="preserve">Exterior</t>
  </si>
  <si>
    <t xml:space="preserve">Rear Cargo Hitch Rack / Platform</t>
  </si>
  <si>
    <t xml:space="preserve">Amazon / Curt</t>
  </si>
  <si>
    <t xml:space="preserve">Extend storage capacity for cooler or large gear outside cabin.</t>
  </si>
  <si>
    <t xml:space="preserve">Weboost Drive Reach Cell Booster</t>
  </si>
  <si>
    <t xml:space="preserve">Amazon / Weboost</t>
  </si>
  <si>
    <t xml:space="preserve">For areas where StarLink has obstructions or latency issues.</t>
  </si>
  <si>
    <t xml:space="preserve">ACCESSORIES — ESTIMATED TOTAL (ALL ITEMS)</t>
  </si>
  <si>
    <t xml:space="preserve">⚡  HIGH = needed before first overnight trip. MED = nice-to-have within first month. LOW = optional upgrades. Vent fan requires roof modification — plan carefully.</t>
  </si>
  <si>
    <t xml:space="preserve">4RUNNER BUILD — BUDGET SUMMARY</t>
  </si>
  <si>
    <t xml:space="preserve">High-level cost summary linking to detailed sheets  ·  All values auto-calculate from source tabs</t>
  </si>
  <si>
    <t xml:space="preserve">Estimated Cost</t>
  </si>
  <si>
    <t xml:space="preserve">Equipment You Already Own</t>
  </si>
  <si>
    <t xml:space="preserve">Jackery 2000v2, 1000v2, 2×SolarSaga, BougeRV, StarLink</t>
  </si>
  <si>
    <t xml:space="preserve">Platform &amp; Materials (build)</t>
  </si>
  <si>
    <t xml:space="preserve">Wood, aluminum, foam, hardware, insulation</t>
  </si>
  <si>
    <t xml:space="preserve">Accessories &amp; Add-ons (all)</t>
  </si>
  <si>
    <t xml:space="preserve">Cables, mounts, lighting, router, etc. (all priorities)</t>
  </si>
  <si>
    <t xml:space="preserve">GRAND TOTAL — FULL BUILD</t>
  </si>
  <si>
    <t xml:space="preserve">All-in estimate including owned equipment retail value</t>
  </si>
  <si>
    <t xml:space="preserve">Already Owned (sunk cost)</t>
  </si>
  <si>
    <t xml:space="preserve">Retail value of gear you already have</t>
  </si>
  <si>
    <t xml:space="preserve">Still to Spend (build + accessories)</t>
  </si>
  <si>
    <t xml:space="preserve">Platform materials + all accessories</t>
  </si>
  <si>
    <t xml:space="preserve">DAILY POWER ANALYSIS</t>
  </si>
  <si>
    <t xml:space="preserve">Load</t>
  </si>
  <si>
    <t xml:space="preserve">Avg Draw (W)</t>
  </si>
  <si>
    <t xml:space="preserve">Daily Hours</t>
  </si>
  <si>
    <t xml:space="preserve">Daily Wh</t>
  </si>
  <si>
    <t xml:space="preserve">BougeRV 23Qt Cooler</t>
  </si>
  <si>
    <t xml:space="preserve">ECO mode ~15W avg when at temp</t>
  </si>
  <si>
    <t xml:space="preserve">StarLink Mini</t>
  </si>
  <si>
    <t xml:space="preserve">Active use 8 hrs/day; standby 5W</t>
  </si>
  <si>
    <t xml:space="preserve">Laptop (15")  </t>
  </si>
  <si>
    <t xml:space="preserve">Via USB-C 100W port on 2000v2</t>
  </si>
  <si>
    <t xml:space="preserve">Portable Monitor</t>
  </si>
  <si>
    <t xml:space="preserve">Optional second screen</t>
  </si>
  <si>
    <t xml:space="preserve">LED Lighting</t>
  </si>
  <si>
    <t xml:space="preserve">Interior strips + reading light</t>
  </si>
  <si>
    <t xml:space="preserve">Vent Fan</t>
  </si>
  <si>
    <t xml:space="preserve">Low speed estimate</t>
  </si>
  <si>
    <t xml:space="preserve">Phone / misc</t>
  </si>
  <si>
    <t xml:space="preserve">Phones, earbuds, tablet charging</t>
  </si>
  <si>
    <t xml:space="preserve">DAILY TOTAL</t>
  </si>
  <si>
    <t xml:space="preserve">Days on 2000v2 alone (2042Wh)</t>
  </si>
  <si>
    <t xml:space="preserve">Without any solar input</t>
  </si>
  <si>
    <t xml:space="preserve">Days on both stations combined (3112Wh)</t>
  </si>
  <si>
    <t xml:space="preserve">Without solar (cloudy-day baseline)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</si>
</sst>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"/>
    <numFmt numFmtId="167" formatCode="\~0&quot; Wh/day&quot;"/>
    <numFmt numFmtId="168" formatCode="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D4FF"/>
      <name val="Arial"/>
      <family val="0"/>
      <charset val="1"/>
    </font>
    <font>
      <sz val="10"/>
      <color rgb="FF7A9ABB"/>
      <name val="Arial"/>
      <family val="0"/>
      <charset val="1"/>
    </font>
    <font>
      <b val="true"/>
      <sz val="10"/>
      <color rgb="FFEEF6FF"/>
      <name val="Arial"/>
      <family val="0"/>
      <charset val="1"/>
    </font>
    <font>
      <b val="true"/>
      <sz val="10"/>
      <color rgb="FFFFB347"/>
      <name val="Arial"/>
      <family val="0"/>
      <charset val="1"/>
    </font>
    <font>
      <sz val="10"/>
      <color rgb="FFC8DFF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B347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10"/>
      <color rgb="FF39C068"/>
      <name val="Arial"/>
      <family val="0"/>
      <charset val="1"/>
    </font>
    <font>
      <b val="true"/>
      <sz val="10"/>
      <color rgb="FFB06EE0"/>
      <name val="Arial"/>
      <family val="0"/>
      <charset val="1"/>
    </font>
    <font>
      <b val="true"/>
      <sz val="11"/>
      <color rgb="FF39C068"/>
      <name val="Arial"/>
      <family val="0"/>
      <charset val="1"/>
    </font>
    <font>
      <i val="true"/>
      <sz val="9"/>
      <color rgb="FF7A9ABB"/>
      <name val="Arial"/>
      <family val="0"/>
      <charset val="1"/>
    </font>
    <font>
      <b val="true"/>
      <sz val="14"/>
      <color rgb="FFFFB347"/>
      <name val="Arial"/>
      <family val="0"/>
      <charset val="1"/>
    </font>
    <font>
      <b val="true"/>
      <sz val="10"/>
      <color rgb="FFFF4D4D"/>
      <name val="Arial"/>
      <family val="0"/>
      <charset val="1"/>
    </font>
    <font>
      <b val="true"/>
      <sz val="10"/>
      <color rgb="FF7A9ABB"/>
      <name val="Arial"/>
      <family val="0"/>
      <charset val="1"/>
    </font>
    <font>
      <b val="true"/>
      <sz val="16"/>
      <color rgb="FF39C068"/>
      <name val="Arial"/>
      <family val="0"/>
      <charset val="1"/>
    </font>
    <font>
      <b val="true"/>
      <sz val="11"/>
      <color rgb="FFEEF6FF"/>
      <name val="Arial"/>
      <family val="0"/>
      <charset val="1"/>
    </font>
    <font>
      <b val="true"/>
      <sz val="11"/>
      <color rgb="FFFFB347"/>
      <name val="Arial"/>
      <family val="0"/>
      <charset val="1"/>
    </font>
    <font>
      <b val="true"/>
      <sz val="12"/>
      <color rgb="FF39C068"/>
      <name val="Arial"/>
      <family val="0"/>
      <charset val="1"/>
    </font>
    <font>
      <b val="true"/>
      <sz val="13"/>
      <color rgb="FF00D4FF"/>
      <name val="Arial"/>
      <family val="0"/>
      <charset val="1"/>
    </font>
    <font>
      <sz val="10"/>
      <color rgb="FF00D4FF"/>
      <name val="Arial"/>
      <family val="0"/>
      <charset val="1"/>
    </font>
    <font>
      <sz val="11"/>
      <color rgb="FF7A9ABB"/>
      <name val="Arial"/>
      <family val="0"/>
      <charset val="1"/>
    </font>
    <font>
      <b val="true"/>
      <sz val="12"/>
      <color rgb="FFFFB347"/>
      <name val="Arial"/>
      <family val="0"/>
      <charset val="1"/>
    </font>
    <font>
      <b val="true"/>
      <sz val="12"/>
      <color rgb="FF00D4FF"/>
      <name val="Arial"/>
      <family val="0"/>
      <charset val="1"/>
    </font>
    <font>
      <sz val="11"/>
      <color rgb="FF00D4FF"/>
      <name val="Arial"/>
      <family val="0"/>
      <charset val="1"/>
    </font>
    <font>
      <sz val="10"/>
      <color rgb="FF39C068"/>
      <name val="Arial"/>
      <family val="0"/>
      <charset val="1"/>
    </font>
    <font>
      <sz val="11"/>
      <color rgb="FF39C06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0E1A"/>
        <bgColor rgb="FF0D1424"/>
      </patternFill>
    </fill>
    <fill>
      <patternFill patternType="solid">
        <fgColor rgb="FF0D1424"/>
        <bgColor rgb="FF0B1929"/>
      </patternFill>
    </fill>
    <fill>
      <patternFill patternType="solid">
        <fgColor rgb="FF0F2540"/>
        <bgColor rgb="FF1A2A4A"/>
      </patternFill>
    </fill>
    <fill>
      <patternFill patternType="solid">
        <fgColor rgb="FF0D1A2E"/>
        <bgColor rgb="FF0B1929"/>
      </patternFill>
    </fill>
    <fill>
      <patternFill patternType="solid">
        <fgColor rgb="FF0B1929"/>
        <bgColor rgb="FF0D1A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A2A4A"/>
      </left>
      <right style="thin">
        <color rgb="FF1A2A4A"/>
      </right>
      <top style="thin">
        <color rgb="FF1A2A4A"/>
      </top>
      <bottom style="thin">
        <color rgb="FF1A2A4A"/>
      </bottom>
      <diagonal/>
    </border>
    <border diagonalUp="false" diagonalDown="false">
      <left style="thin">
        <color rgb="FF1A2A4A"/>
      </left>
      <right/>
      <top style="thin">
        <color rgb="FF1A2A4A"/>
      </top>
      <bottom style="thin">
        <color rgb="FF1A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424"/>
      <rgbColor rgb="FF808000"/>
      <rgbColor rgb="FF800080"/>
      <rgbColor rgb="FF008080"/>
      <rgbColor rgb="FFC0C0C0"/>
      <rgbColor rgb="FF808080"/>
      <rgbColor rgb="FFB06EE0"/>
      <rgbColor rgb="FF993366"/>
      <rgbColor rgb="FFFFFFCC"/>
      <rgbColor rgb="FFCCFFFF"/>
      <rgbColor rgb="FF660066"/>
      <rgbColor rgb="FFFF8080"/>
      <rgbColor rgb="FF0066CC"/>
      <rgbColor rgb="FFC8DFF5"/>
      <rgbColor rgb="FF0A0E1A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347"/>
      <rgbColor rgb="FFFF9900"/>
      <rgbColor rgb="FFFF4D4D"/>
      <rgbColor rgb="FF666699"/>
      <rgbColor rgb="FF7A9ABB"/>
      <rgbColor rgb="FF0F2540"/>
      <rgbColor rgb="FF39C068"/>
      <rgbColor rgb="FF0B1929"/>
      <rgbColor rgb="FF0D1A2E"/>
      <rgbColor rgb="FF993300"/>
      <rgbColor rgb="FF993366"/>
      <rgbColor rgb="FF333399"/>
      <rgbColor rgb="FF1A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9C068"/>
    <pageSetUpPr fitToPage="false"/>
  </sheetPr>
  <dimension ref="A1:K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8" min="6" style="0" width="22"/>
    <col collapsed="false" customWidth="true" hidden="false" outlineLevel="0" max="9" min="9" style="0" width="36"/>
    <col collapsed="false" customWidth="true" hidden="false" outlineLevel="0" max="11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60" hidden="false" customHeight="true" outlineLevel="0" collapsed="false">
      <c r="A4" s="4" t="s">
        <v>13</v>
      </c>
      <c r="B4" s="5" t="s">
        <v>14</v>
      </c>
      <c r="C4" s="5" t="s">
        <v>15</v>
      </c>
      <c r="D4" s="6" t="n">
        <v>1</v>
      </c>
      <c r="E4" s="6" t="n">
        <v>43</v>
      </c>
      <c r="F4" s="5" t="s">
        <v>16</v>
      </c>
      <c r="G4" s="5" t="s">
        <v>17</v>
      </c>
      <c r="H4" s="5" t="s">
        <v>18</v>
      </c>
      <c r="I4" s="5" t="s">
        <v>19</v>
      </c>
      <c r="J4" s="7" t="n">
        <v>549.99</v>
      </c>
      <c r="K4" s="8" t="n">
        <f aca="false">D4*J4</f>
        <v>549.99</v>
      </c>
    </row>
    <row r="5" customFormat="false" ht="60" hidden="false" customHeight="true" outlineLevel="0" collapsed="false">
      <c r="A5" s="9" t="s">
        <v>13</v>
      </c>
      <c r="B5" s="10" t="s">
        <v>20</v>
      </c>
      <c r="C5" s="10" t="s">
        <v>21</v>
      </c>
      <c r="D5" s="11" t="n">
        <v>1</v>
      </c>
      <c r="E5" s="11" t="n">
        <v>23.6</v>
      </c>
      <c r="F5" s="10" t="s">
        <v>22</v>
      </c>
      <c r="G5" s="10" t="s">
        <v>23</v>
      </c>
      <c r="H5" s="10" t="s">
        <v>24</v>
      </c>
      <c r="I5" s="10" t="s">
        <v>25</v>
      </c>
      <c r="J5" s="12" t="n">
        <v>349.99</v>
      </c>
      <c r="K5" s="13" t="n">
        <f aca="false">D5*J5</f>
        <v>349.99</v>
      </c>
    </row>
    <row r="6" customFormat="false" ht="60" hidden="false" customHeight="true" outlineLevel="0" collapsed="false">
      <c r="A6" s="14" t="s">
        <v>26</v>
      </c>
      <c r="B6" s="5" t="s">
        <v>27</v>
      </c>
      <c r="C6" s="5" t="s">
        <v>28</v>
      </c>
      <c r="D6" s="6" t="n">
        <v>2</v>
      </c>
      <c r="E6" s="6" t="n">
        <v>11</v>
      </c>
      <c r="F6" s="5" t="s">
        <v>29</v>
      </c>
      <c r="G6" s="5" t="s">
        <v>30</v>
      </c>
      <c r="H6" s="5" t="s">
        <v>31</v>
      </c>
      <c r="I6" s="5" t="s">
        <v>32</v>
      </c>
      <c r="J6" s="7" t="n">
        <v>249.99</v>
      </c>
      <c r="K6" s="8" t="n">
        <f aca="false">D6*J6</f>
        <v>499.98</v>
      </c>
    </row>
    <row r="7" customFormat="false" ht="60" hidden="false" customHeight="true" outlineLevel="0" collapsed="false">
      <c r="A7" s="15" t="s">
        <v>33</v>
      </c>
      <c r="B7" s="10" t="s">
        <v>34</v>
      </c>
      <c r="C7" s="10" t="s">
        <v>35</v>
      </c>
      <c r="D7" s="11" t="n">
        <v>1</v>
      </c>
      <c r="E7" s="11" t="n">
        <v>17</v>
      </c>
      <c r="F7" s="10" t="s">
        <v>36</v>
      </c>
      <c r="G7" s="10" t="s">
        <v>37</v>
      </c>
      <c r="H7" s="10" t="s">
        <v>38</v>
      </c>
      <c r="I7" s="10" t="s">
        <v>39</v>
      </c>
      <c r="J7" s="12" t="n">
        <v>229.99</v>
      </c>
      <c r="K7" s="13" t="n">
        <f aca="false">D7*J7</f>
        <v>229.99</v>
      </c>
    </row>
    <row r="8" customFormat="false" ht="60" hidden="false" customHeight="true" outlineLevel="0" collapsed="false">
      <c r="A8" s="16" t="s">
        <v>40</v>
      </c>
      <c r="B8" s="5" t="s">
        <v>41</v>
      </c>
      <c r="C8" s="5" t="s">
        <v>42</v>
      </c>
      <c r="D8" s="6" t="n">
        <v>1</v>
      </c>
      <c r="E8" s="6" t="n">
        <v>2.4</v>
      </c>
      <c r="F8" s="5" t="s">
        <v>43</v>
      </c>
      <c r="G8" s="5" t="s">
        <v>44</v>
      </c>
      <c r="H8" s="5" t="s">
        <v>45</v>
      </c>
      <c r="I8" s="5" t="s">
        <v>46</v>
      </c>
      <c r="J8" s="7" t="n">
        <v>599</v>
      </c>
      <c r="K8" s="8" t="n">
        <f aca="false">D8*J8</f>
        <v>599</v>
      </c>
    </row>
    <row r="9" customFormat="false" ht="21.75" hidden="false" customHeight="true" outlineLevel="0" collapsed="false">
      <c r="A9" s="17" t="s">
        <v>47</v>
      </c>
      <c r="B9" s="17"/>
      <c r="C9" s="17"/>
      <c r="D9" s="17"/>
      <c r="E9" s="17"/>
      <c r="F9" s="17"/>
      <c r="G9" s="17"/>
      <c r="H9" s="17"/>
      <c r="I9" s="17"/>
      <c r="J9" s="18"/>
      <c r="K9" s="19" t="n">
        <f aca="false">SUM(K4:K8)</f>
        <v>2228.95</v>
      </c>
    </row>
    <row r="11" customFormat="false" ht="18" hidden="false" customHeight="true" outlineLevel="0" collapsed="false">
      <c r="A11" s="20" t="s">
        <v>48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</sheetData>
  <mergeCells count="4">
    <mergeCell ref="A1:K1"/>
    <mergeCell ref="A2:K2"/>
    <mergeCell ref="A9:I9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51</v>
      </c>
      <c r="C3" s="3" t="s">
        <v>52</v>
      </c>
      <c r="D3" s="3" t="s">
        <v>5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</row>
    <row r="4" customFormat="false" ht="48" hidden="false" customHeight="true" outlineLevel="0" collapsed="false">
      <c r="A4" s="4" t="s">
        <v>58</v>
      </c>
      <c r="B4" s="5" t="s">
        <v>59</v>
      </c>
      <c r="C4" s="5" t="s">
        <v>60</v>
      </c>
      <c r="D4" s="6" t="n">
        <v>2</v>
      </c>
      <c r="E4" s="5" t="s">
        <v>61</v>
      </c>
      <c r="F4" s="7" t="n">
        <v>55</v>
      </c>
      <c r="G4" s="8" t="n">
        <f aca="false">D4*F4</f>
        <v>110</v>
      </c>
      <c r="H4" s="5" t="s">
        <v>62</v>
      </c>
      <c r="I4" s="5" t="s">
        <v>63</v>
      </c>
    </row>
    <row r="5" customFormat="false" ht="48" hidden="false" customHeight="true" outlineLevel="0" collapsed="false">
      <c r="A5" s="21" t="s">
        <v>58</v>
      </c>
      <c r="B5" s="10" t="s">
        <v>64</v>
      </c>
      <c r="C5" s="10" t="s">
        <v>65</v>
      </c>
      <c r="D5" s="11" t="n">
        <v>4</v>
      </c>
      <c r="E5" s="10" t="s">
        <v>66</v>
      </c>
      <c r="F5" s="12" t="n">
        <v>18</v>
      </c>
      <c r="G5" s="13" t="n">
        <f aca="false">D5*F5</f>
        <v>72</v>
      </c>
      <c r="H5" s="10" t="s">
        <v>67</v>
      </c>
      <c r="I5" s="10" t="s">
        <v>68</v>
      </c>
    </row>
    <row r="6" customFormat="false" ht="48" hidden="false" customHeight="true" outlineLevel="0" collapsed="false">
      <c r="A6" s="4" t="s">
        <v>58</v>
      </c>
      <c r="B6" s="5" t="s">
        <v>69</v>
      </c>
      <c r="C6" s="5" t="s">
        <v>70</v>
      </c>
      <c r="D6" s="6" t="n">
        <v>4</v>
      </c>
      <c r="E6" s="5" t="s">
        <v>66</v>
      </c>
      <c r="F6" s="7" t="n">
        <v>24</v>
      </c>
      <c r="G6" s="8" t="n">
        <f aca="false">D6*F6</f>
        <v>96</v>
      </c>
      <c r="H6" s="5" t="s">
        <v>71</v>
      </c>
      <c r="I6" s="5" t="s">
        <v>72</v>
      </c>
    </row>
    <row r="7" customFormat="false" ht="48" hidden="false" customHeight="true" outlineLevel="0" collapsed="false">
      <c r="A7" s="21" t="s">
        <v>58</v>
      </c>
      <c r="B7" s="10" t="s">
        <v>73</v>
      </c>
      <c r="C7" s="10" t="s">
        <v>74</v>
      </c>
      <c r="D7" s="11" t="n">
        <v>1</v>
      </c>
      <c r="E7" s="10" t="s">
        <v>75</v>
      </c>
      <c r="F7" s="12" t="n">
        <v>12</v>
      </c>
      <c r="G7" s="13" t="n">
        <f aca="false">D7*F7</f>
        <v>12</v>
      </c>
      <c r="H7" s="10" t="s">
        <v>76</v>
      </c>
      <c r="I7" s="10" t="s">
        <v>77</v>
      </c>
    </row>
    <row r="8" customFormat="false" ht="48" hidden="false" customHeight="true" outlineLevel="0" collapsed="false">
      <c r="A8" s="4" t="s">
        <v>78</v>
      </c>
      <c r="B8" s="5" t="s">
        <v>79</v>
      </c>
      <c r="C8" s="5" t="s">
        <v>80</v>
      </c>
      <c r="D8" s="6" t="n">
        <v>1</v>
      </c>
      <c r="E8" s="5" t="s">
        <v>61</v>
      </c>
      <c r="F8" s="7" t="n">
        <v>65</v>
      </c>
      <c r="G8" s="8" t="n">
        <f aca="false">D8*F8</f>
        <v>65</v>
      </c>
      <c r="H8" s="5" t="s">
        <v>62</v>
      </c>
      <c r="I8" s="5" t="s">
        <v>81</v>
      </c>
    </row>
    <row r="9" customFormat="false" ht="48" hidden="false" customHeight="true" outlineLevel="0" collapsed="false">
      <c r="A9" s="21" t="s">
        <v>78</v>
      </c>
      <c r="B9" s="10" t="s">
        <v>82</v>
      </c>
      <c r="C9" s="10" t="s">
        <v>83</v>
      </c>
      <c r="D9" s="11" t="n">
        <v>1</v>
      </c>
      <c r="E9" s="10" t="s">
        <v>84</v>
      </c>
      <c r="F9" s="12" t="n">
        <v>18</v>
      </c>
      <c r="G9" s="13" t="n">
        <f aca="false">D9*F9</f>
        <v>18</v>
      </c>
      <c r="H9" s="10" t="s">
        <v>85</v>
      </c>
      <c r="I9" s="10" t="s">
        <v>86</v>
      </c>
    </row>
    <row r="10" customFormat="false" ht="48" hidden="false" customHeight="true" outlineLevel="0" collapsed="false">
      <c r="A10" s="4" t="s">
        <v>87</v>
      </c>
      <c r="B10" s="5" t="s">
        <v>88</v>
      </c>
      <c r="C10" s="5" t="s">
        <v>89</v>
      </c>
      <c r="D10" s="6" t="n">
        <v>2</v>
      </c>
      <c r="E10" s="5" t="s">
        <v>90</v>
      </c>
      <c r="F10" s="7" t="n">
        <v>28</v>
      </c>
      <c r="G10" s="8" t="n">
        <f aca="false">D10*F10</f>
        <v>56</v>
      </c>
      <c r="H10" s="5" t="s">
        <v>91</v>
      </c>
      <c r="I10" s="5" t="s">
        <v>92</v>
      </c>
    </row>
    <row r="11" customFormat="false" ht="48" hidden="false" customHeight="true" outlineLevel="0" collapsed="false">
      <c r="A11" s="21" t="s">
        <v>87</v>
      </c>
      <c r="B11" s="10" t="s">
        <v>93</v>
      </c>
      <c r="C11" s="10" t="s">
        <v>94</v>
      </c>
      <c r="D11" s="11" t="n">
        <v>1</v>
      </c>
      <c r="E11" s="10" t="s">
        <v>61</v>
      </c>
      <c r="F11" s="12" t="n">
        <v>45</v>
      </c>
      <c r="G11" s="13" t="n">
        <f aca="false">D11*F11</f>
        <v>45</v>
      </c>
      <c r="H11" s="10" t="s">
        <v>62</v>
      </c>
      <c r="I11" s="10" t="s">
        <v>95</v>
      </c>
    </row>
    <row r="12" customFormat="false" ht="48" hidden="false" customHeight="true" outlineLevel="0" collapsed="false">
      <c r="A12" s="4" t="s">
        <v>87</v>
      </c>
      <c r="B12" s="5" t="s">
        <v>96</v>
      </c>
      <c r="C12" s="5" t="s">
        <v>97</v>
      </c>
      <c r="D12" s="6" t="n">
        <v>4</v>
      </c>
      <c r="E12" s="5" t="s">
        <v>98</v>
      </c>
      <c r="F12" s="7" t="n">
        <v>6</v>
      </c>
      <c r="G12" s="8" t="n">
        <f aca="false">D12*F12</f>
        <v>24</v>
      </c>
      <c r="H12" s="5" t="s">
        <v>99</v>
      </c>
      <c r="I12" s="5" t="s">
        <v>100</v>
      </c>
    </row>
    <row r="13" customFormat="false" ht="48" hidden="false" customHeight="true" outlineLevel="0" collapsed="false">
      <c r="A13" s="21" t="s">
        <v>87</v>
      </c>
      <c r="B13" s="10" t="s">
        <v>101</v>
      </c>
      <c r="C13" s="10" t="s">
        <v>102</v>
      </c>
      <c r="D13" s="11" t="n">
        <v>2</v>
      </c>
      <c r="E13" s="10" t="s">
        <v>98</v>
      </c>
      <c r="F13" s="12" t="n">
        <v>8</v>
      </c>
      <c r="G13" s="13" t="n">
        <f aca="false">D13*F13</f>
        <v>16</v>
      </c>
      <c r="H13" s="10" t="s">
        <v>76</v>
      </c>
      <c r="I13" s="10" t="s">
        <v>103</v>
      </c>
    </row>
    <row r="14" customFormat="false" ht="48" hidden="false" customHeight="true" outlineLevel="0" collapsed="false">
      <c r="A14" s="4" t="s">
        <v>104</v>
      </c>
      <c r="B14" s="5" t="s">
        <v>105</v>
      </c>
      <c r="C14" s="5" t="s">
        <v>106</v>
      </c>
      <c r="D14" s="6" t="n">
        <v>1</v>
      </c>
      <c r="E14" s="5" t="s">
        <v>98</v>
      </c>
      <c r="F14" s="7" t="n">
        <v>85</v>
      </c>
      <c r="G14" s="8" t="n">
        <f aca="false">D14*F14</f>
        <v>85</v>
      </c>
      <c r="H14" s="5" t="s">
        <v>107</v>
      </c>
      <c r="I14" s="5" t="s">
        <v>108</v>
      </c>
    </row>
    <row r="15" customFormat="false" ht="48" hidden="false" customHeight="true" outlineLevel="0" collapsed="false">
      <c r="A15" s="21" t="s">
        <v>104</v>
      </c>
      <c r="B15" s="10" t="s">
        <v>109</v>
      </c>
      <c r="C15" s="10" t="s">
        <v>110</v>
      </c>
      <c r="D15" s="11" t="n">
        <v>1</v>
      </c>
      <c r="E15" s="10" t="s">
        <v>98</v>
      </c>
      <c r="F15" s="12" t="n">
        <v>35</v>
      </c>
      <c r="G15" s="13" t="n">
        <f aca="false">D15*F15</f>
        <v>35</v>
      </c>
      <c r="H15" s="10" t="s">
        <v>76</v>
      </c>
      <c r="I15" s="10" t="s">
        <v>111</v>
      </c>
    </row>
    <row r="16" customFormat="false" ht="48" hidden="false" customHeight="true" outlineLevel="0" collapsed="false">
      <c r="A16" s="4" t="s">
        <v>112</v>
      </c>
      <c r="B16" s="5" t="s">
        <v>113</v>
      </c>
      <c r="C16" s="5" t="s">
        <v>114</v>
      </c>
      <c r="D16" s="6" t="n">
        <v>2</v>
      </c>
      <c r="E16" s="5" t="s">
        <v>75</v>
      </c>
      <c r="F16" s="7" t="n">
        <v>9</v>
      </c>
      <c r="G16" s="8" t="n">
        <f aca="false">D16*F16</f>
        <v>18</v>
      </c>
      <c r="H16" s="5" t="s">
        <v>115</v>
      </c>
      <c r="I16" s="5" t="s">
        <v>116</v>
      </c>
    </row>
    <row r="17" customFormat="false" ht="48" hidden="false" customHeight="true" outlineLevel="0" collapsed="false">
      <c r="A17" s="21" t="s">
        <v>112</v>
      </c>
      <c r="B17" s="10" t="s">
        <v>117</v>
      </c>
      <c r="C17" s="10" t="s">
        <v>118</v>
      </c>
      <c r="D17" s="11" t="n">
        <v>2</v>
      </c>
      <c r="E17" s="10" t="s">
        <v>119</v>
      </c>
      <c r="F17" s="12" t="n">
        <v>8</v>
      </c>
      <c r="G17" s="13" t="n">
        <f aca="false">D17*F17</f>
        <v>16</v>
      </c>
      <c r="H17" s="10" t="s">
        <v>120</v>
      </c>
      <c r="I17" s="10" t="s">
        <v>121</v>
      </c>
    </row>
    <row r="18" customFormat="false" ht="48" hidden="false" customHeight="true" outlineLevel="0" collapsed="false">
      <c r="A18" s="4" t="s">
        <v>112</v>
      </c>
      <c r="B18" s="5" t="s">
        <v>122</v>
      </c>
      <c r="C18" s="5" t="s">
        <v>123</v>
      </c>
      <c r="D18" s="6" t="n">
        <v>1</v>
      </c>
      <c r="E18" s="5" t="s">
        <v>119</v>
      </c>
      <c r="F18" s="7" t="n">
        <v>12</v>
      </c>
      <c r="G18" s="8" t="n">
        <f aca="false">D18*F18</f>
        <v>12</v>
      </c>
      <c r="H18" s="5" t="s">
        <v>124</v>
      </c>
      <c r="I18" s="5" t="s">
        <v>125</v>
      </c>
    </row>
    <row r="19" customFormat="false" ht="48" hidden="false" customHeight="true" outlineLevel="0" collapsed="false">
      <c r="A19" s="21" t="s">
        <v>112</v>
      </c>
      <c r="B19" s="10" t="s">
        <v>126</v>
      </c>
      <c r="C19" s="10" t="s">
        <v>127</v>
      </c>
      <c r="D19" s="11" t="n">
        <v>2</v>
      </c>
      <c r="E19" s="10" t="s">
        <v>128</v>
      </c>
      <c r="F19" s="12" t="n">
        <v>8</v>
      </c>
      <c r="G19" s="13" t="n">
        <f aca="false">D19*F19</f>
        <v>16</v>
      </c>
      <c r="H19" s="10" t="s">
        <v>120</v>
      </c>
      <c r="I19" s="10" t="s">
        <v>129</v>
      </c>
    </row>
    <row r="20" customFormat="false" ht="48" hidden="false" customHeight="true" outlineLevel="0" collapsed="false">
      <c r="A20" s="4" t="s">
        <v>130</v>
      </c>
      <c r="B20" s="5" t="s">
        <v>131</v>
      </c>
      <c r="C20" s="5" t="s">
        <v>132</v>
      </c>
      <c r="D20" s="6" t="n">
        <v>1</v>
      </c>
      <c r="E20" s="5" t="s">
        <v>61</v>
      </c>
      <c r="F20" s="7" t="n">
        <v>45</v>
      </c>
      <c r="G20" s="8" t="n">
        <f aca="false">D20*F20</f>
        <v>45</v>
      </c>
      <c r="H20" s="5" t="s">
        <v>76</v>
      </c>
      <c r="I20" s="5" t="s">
        <v>133</v>
      </c>
    </row>
    <row r="21" customFormat="false" ht="48" hidden="false" customHeight="true" outlineLevel="0" collapsed="false">
      <c r="A21" s="21" t="s">
        <v>130</v>
      </c>
      <c r="B21" s="10" t="s">
        <v>134</v>
      </c>
      <c r="C21" s="10" t="s">
        <v>135</v>
      </c>
      <c r="D21" s="11" t="n">
        <v>1</v>
      </c>
      <c r="E21" s="10" t="s">
        <v>136</v>
      </c>
      <c r="F21" s="12" t="n">
        <v>28</v>
      </c>
      <c r="G21" s="13" t="n">
        <f aca="false">D21*F21</f>
        <v>28</v>
      </c>
      <c r="H21" s="10" t="s">
        <v>137</v>
      </c>
      <c r="I21" s="10" t="s">
        <v>138</v>
      </c>
    </row>
    <row r="22" customFormat="false" ht="48" hidden="false" customHeight="true" outlineLevel="0" collapsed="false">
      <c r="A22" s="4" t="s">
        <v>139</v>
      </c>
      <c r="B22" s="5" t="s">
        <v>140</v>
      </c>
      <c r="C22" s="5" t="s">
        <v>141</v>
      </c>
      <c r="D22" s="6" t="n">
        <v>1</v>
      </c>
      <c r="E22" s="5" t="s">
        <v>98</v>
      </c>
      <c r="F22" s="7" t="n">
        <v>22</v>
      </c>
      <c r="G22" s="8" t="n">
        <f aca="false">D22*F22</f>
        <v>22</v>
      </c>
      <c r="H22" s="5" t="s">
        <v>142</v>
      </c>
      <c r="I22" s="5" t="s">
        <v>143</v>
      </c>
    </row>
    <row r="23" customFormat="false" ht="48" hidden="false" customHeight="true" outlineLevel="0" collapsed="false">
      <c r="A23" s="21" t="s">
        <v>139</v>
      </c>
      <c r="B23" s="10" t="s">
        <v>144</v>
      </c>
      <c r="C23" s="10" t="s">
        <v>145</v>
      </c>
      <c r="D23" s="11" t="n">
        <v>1</v>
      </c>
      <c r="E23" s="10" t="s">
        <v>98</v>
      </c>
      <c r="F23" s="12" t="n">
        <v>18</v>
      </c>
      <c r="G23" s="13" t="n">
        <f aca="false">D23*F23</f>
        <v>18</v>
      </c>
      <c r="H23" s="10" t="s">
        <v>142</v>
      </c>
      <c r="I23" s="10" t="s">
        <v>146</v>
      </c>
    </row>
    <row r="24" customFormat="false" ht="48" hidden="false" customHeight="true" outlineLevel="0" collapsed="false">
      <c r="A24" s="4" t="s">
        <v>147</v>
      </c>
      <c r="B24" s="5" t="s">
        <v>148</v>
      </c>
      <c r="C24" s="5" t="s">
        <v>149</v>
      </c>
      <c r="D24" s="6" t="n">
        <v>4</v>
      </c>
      <c r="E24" s="5" t="s">
        <v>98</v>
      </c>
      <c r="F24" s="7" t="n">
        <v>12</v>
      </c>
      <c r="G24" s="8" t="n">
        <f aca="false">D24*F24</f>
        <v>48</v>
      </c>
      <c r="H24" s="5" t="s">
        <v>150</v>
      </c>
      <c r="I24" s="5" t="s">
        <v>151</v>
      </c>
    </row>
    <row r="25" customFormat="false" ht="48" hidden="false" customHeight="true" outlineLevel="0" collapsed="false">
      <c r="A25" s="21" t="s">
        <v>147</v>
      </c>
      <c r="B25" s="10" t="s">
        <v>152</v>
      </c>
      <c r="C25" s="10" t="s">
        <v>153</v>
      </c>
      <c r="D25" s="11" t="n">
        <v>2</v>
      </c>
      <c r="E25" s="10" t="s">
        <v>98</v>
      </c>
      <c r="F25" s="12" t="n">
        <v>8</v>
      </c>
      <c r="G25" s="13" t="n">
        <f aca="false">D25*F25</f>
        <v>16</v>
      </c>
      <c r="H25" s="10" t="s">
        <v>154</v>
      </c>
      <c r="I25" s="10" t="s">
        <v>155</v>
      </c>
    </row>
    <row r="26" customFormat="false" ht="48" hidden="false" customHeight="true" outlineLevel="0" collapsed="false">
      <c r="A26" s="4" t="s">
        <v>156</v>
      </c>
      <c r="B26" s="5" t="s">
        <v>157</v>
      </c>
      <c r="C26" s="5" t="s">
        <v>158</v>
      </c>
      <c r="D26" s="6" t="n">
        <v>1</v>
      </c>
      <c r="E26" s="5" t="s">
        <v>75</v>
      </c>
      <c r="F26" s="7" t="n">
        <v>12</v>
      </c>
      <c r="G26" s="8" t="n">
        <f aca="false">D26*F26</f>
        <v>12</v>
      </c>
      <c r="H26" s="5" t="s">
        <v>120</v>
      </c>
      <c r="I26" s="5" t="s">
        <v>159</v>
      </c>
    </row>
    <row r="27" customFormat="false" ht="48" hidden="false" customHeight="true" outlineLevel="0" collapsed="false">
      <c r="A27" s="21" t="s">
        <v>156</v>
      </c>
      <c r="B27" s="10" t="s">
        <v>160</v>
      </c>
      <c r="C27" s="10" t="s">
        <v>161</v>
      </c>
      <c r="D27" s="11" t="n">
        <v>1</v>
      </c>
      <c r="E27" s="10" t="s">
        <v>162</v>
      </c>
      <c r="F27" s="12" t="n">
        <v>20</v>
      </c>
      <c r="G27" s="13" t="n">
        <f aca="false">D27*F27</f>
        <v>20</v>
      </c>
      <c r="H27" s="10" t="s">
        <v>120</v>
      </c>
      <c r="I27" s="10" t="s">
        <v>163</v>
      </c>
    </row>
    <row r="28" customFormat="false" ht="21.75" hidden="false" customHeight="true" outlineLevel="0" collapsed="false">
      <c r="A28" s="22" t="s">
        <v>164</v>
      </c>
      <c r="B28" s="22"/>
      <c r="C28" s="22"/>
      <c r="D28" s="22"/>
      <c r="E28" s="22"/>
      <c r="F28" s="22"/>
      <c r="G28" s="19" t="n">
        <f aca="false">SUM(G4:G27)</f>
        <v>905</v>
      </c>
      <c r="H28" s="18"/>
      <c r="I28" s="18"/>
    </row>
    <row r="30" customFormat="false" ht="18" hidden="false" customHeight="true" outlineLevel="0" collapsed="false">
      <c r="A30" s="20" t="s">
        <v>165</v>
      </c>
      <c r="B30" s="20"/>
      <c r="C30" s="20"/>
      <c r="D30" s="20"/>
      <c r="E30" s="20"/>
      <c r="F30" s="20"/>
      <c r="G30" s="20"/>
      <c r="H30" s="20"/>
      <c r="I30" s="20"/>
    </row>
  </sheetData>
  <mergeCells count="4">
    <mergeCell ref="A1:I1"/>
    <mergeCell ref="A2:I2"/>
    <mergeCell ref="A28:F28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47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5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23" t="s">
        <v>166</v>
      </c>
      <c r="B1" s="23"/>
      <c r="C1" s="23"/>
      <c r="D1" s="23"/>
      <c r="E1" s="23"/>
      <c r="F1" s="23"/>
      <c r="G1" s="23"/>
      <c r="H1" s="23"/>
    </row>
    <row r="2" customFormat="false" ht="18" hidden="false" customHeight="true" outlineLevel="0" collapsed="false">
      <c r="A2" s="2" t="s">
        <v>167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168</v>
      </c>
      <c r="B3" s="3" t="s">
        <v>2</v>
      </c>
      <c r="C3" s="3" t="s">
        <v>3</v>
      </c>
      <c r="D3" s="3" t="s">
        <v>5</v>
      </c>
      <c r="E3" s="3" t="s">
        <v>169</v>
      </c>
      <c r="F3" s="3" t="s">
        <v>55</v>
      </c>
      <c r="G3" s="3" t="s">
        <v>56</v>
      </c>
      <c r="H3" s="3" t="s">
        <v>57</v>
      </c>
    </row>
    <row r="4" customFormat="false" ht="51.75" hidden="false" customHeight="true" outlineLevel="0" collapsed="false">
      <c r="A4" s="24" t="s">
        <v>170</v>
      </c>
      <c r="B4" s="14" t="s">
        <v>26</v>
      </c>
      <c r="C4" s="5" t="s">
        <v>171</v>
      </c>
      <c r="D4" s="6" t="n">
        <v>1</v>
      </c>
      <c r="E4" s="7" t="n">
        <v>19.99</v>
      </c>
      <c r="F4" s="8" t="n">
        <f aca="false">D4*E4</f>
        <v>19.99</v>
      </c>
      <c r="G4" s="25" t="s">
        <v>172</v>
      </c>
      <c r="H4" s="5" t="s">
        <v>173</v>
      </c>
    </row>
    <row r="5" customFormat="false" ht="51.75" hidden="false" customHeight="true" outlineLevel="0" collapsed="false">
      <c r="A5" s="26" t="s">
        <v>170</v>
      </c>
      <c r="B5" s="27" t="s">
        <v>26</v>
      </c>
      <c r="C5" s="10" t="s">
        <v>174</v>
      </c>
      <c r="D5" s="11" t="n">
        <v>1</v>
      </c>
      <c r="E5" s="12" t="n">
        <v>24.99</v>
      </c>
      <c r="F5" s="13" t="n">
        <f aca="false">D5*E5</f>
        <v>24.99</v>
      </c>
      <c r="G5" s="28" t="s">
        <v>175</v>
      </c>
      <c r="H5" s="10" t="s">
        <v>176</v>
      </c>
    </row>
    <row r="6" customFormat="false" ht="51.75" hidden="false" customHeight="true" outlineLevel="0" collapsed="false">
      <c r="A6" s="24" t="s">
        <v>170</v>
      </c>
      <c r="B6" s="14" t="s">
        <v>40</v>
      </c>
      <c r="C6" s="5" t="s">
        <v>177</v>
      </c>
      <c r="D6" s="6" t="n">
        <v>1</v>
      </c>
      <c r="E6" s="7" t="n">
        <v>34.99</v>
      </c>
      <c r="F6" s="8" t="n">
        <f aca="false">D6*E6</f>
        <v>34.99</v>
      </c>
      <c r="G6" s="25" t="s">
        <v>76</v>
      </c>
      <c r="H6" s="5" t="s">
        <v>178</v>
      </c>
    </row>
    <row r="7" customFormat="false" ht="51.75" hidden="false" customHeight="true" outlineLevel="0" collapsed="false">
      <c r="A7" s="26" t="s">
        <v>170</v>
      </c>
      <c r="B7" s="27" t="s">
        <v>179</v>
      </c>
      <c r="C7" s="10" t="s">
        <v>180</v>
      </c>
      <c r="D7" s="11" t="n">
        <v>1</v>
      </c>
      <c r="E7" s="12" t="n">
        <v>29.99</v>
      </c>
      <c r="F7" s="13" t="n">
        <f aca="false">D7*E7</f>
        <v>29.99</v>
      </c>
      <c r="G7" s="28" t="s">
        <v>181</v>
      </c>
      <c r="H7" s="10" t="s">
        <v>182</v>
      </c>
    </row>
    <row r="8" customFormat="false" ht="51.75" hidden="false" customHeight="true" outlineLevel="0" collapsed="false">
      <c r="A8" s="24" t="s">
        <v>170</v>
      </c>
      <c r="B8" s="14" t="s">
        <v>183</v>
      </c>
      <c r="C8" s="5" t="s">
        <v>184</v>
      </c>
      <c r="D8" s="6" t="n">
        <v>1</v>
      </c>
      <c r="E8" s="7" t="n">
        <v>22.99</v>
      </c>
      <c r="F8" s="8" t="n">
        <f aca="false">D8*E8</f>
        <v>22.99</v>
      </c>
      <c r="G8" s="25" t="s">
        <v>185</v>
      </c>
      <c r="H8" s="5" t="s">
        <v>186</v>
      </c>
    </row>
    <row r="9" customFormat="false" ht="51.75" hidden="false" customHeight="true" outlineLevel="0" collapsed="false">
      <c r="A9" s="26" t="s">
        <v>170</v>
      </c>
      <c r="B9" s="27" t="s">
        <v>183</v>
      </c>
      <c r="C9" s="10" t="s">
        <v>187</v>
      </c>
      <c r="D9" s="11" t="n">
        <v>1</v>
      </c>
      <c r="E9" s="12" t="n">
        <v>39.99</v>
      </c>
      <c r="F9" s="13" t="n">
        <f aca="false">D9*E9</f>
        <v>39.99</v>
      </c>
      <c r="G9" s="28" t="s">
        <v>188</v>
      </c>
      <c r="H9" s="10" t="s">
        <v>189</v>
      </c>
    </row>
    <row r="10" customFormat="false" ht="51.75" hidden="false" customHeight="true" outlineLevel="0" collapsed="false">
      <c r="A10" s="29" t="s">
        <v>190</v>
      </c>
      <c r="B10" s="14" t="s">
        <v>179</v>
      </c>
      <c r="C10" s="5" t="s">
        <v>191</v>
      </c>
      <c r="D10" s="6" t="n">
        <v>1</v>
      </c>
      <c r="E10" s="7" t="n">
        <v>39.99</v>
      </c>
      <c r="F10" s="8" t="n">
        <f aca="false">D10*E10</f>
        <v>39.99</v>
      </c>
      <c r="G10" s="25" t="s">
        <v>192</v>
      </c>
      <c r="H10" s="5" t="s">
        <v>193</v>
      </c>
    </row>
    <row r="11" customFormat="false" ht="51.75" hidden="false" customHeight="true" outlineLevel="0" collapsed="false">
      <c r="A11" s="30" t="s">
        <v>190</v>
      </c>
      <c r="B11" s="27" t="s">
        <v>179</v>
      </c>
      <c r="C11" s="10" t="s">
        <v>194</v>
      </c>
      <c r="D11" s="11" t="n">
        <v>2</v>
      </c>
      <c r="E11" s="12" t="n">
        <v>12.99</v>
      </c>
      <c r="F11" s="13" t="n">
        <f aca="false">D11*E11</f>
        <v>25.98</v>
      </c>
      <c r="G11" s="28" t="s">
        <v>76</v>
      </c>
      <c r="H11" s="10" t="s">
        <v>195</v>
      </c>
    </row>
    <row r="12" customFormat="false" ht="51.75" hidden="false" customHeight="true" outlineLevel="0" collapsed="false">
      <c r="A12" s="29" t="s">
        <v>190</v>
      </c>
      <c r="B12" s="14" t="s">
        <v>179</v>
      </c>
      <c r="C12" s="5" t="s">
        <v>196</v>
      </c>
      <c r="D12" s="6" t="n">
        <v>1</v>
      </c>
      <c r="E12" s="7" t="n">
        <v>18.99</v>
      </c>
      <c r="F12" s="8" t="n">
        <f aca="false">D12*E12</f>
        <v>18.99</v>
      </c>
      <c r="G12" s="25" t="s">
        <v>76</v>
      </c>
      <c r="H12" s="5" t="s">
        <v>197</v>
      </c>
    </row>
    <row r="13" customFormat="false" ht="51.75" hidden="false" customHeight="true" outlineLevel="0" collapsed="false">
      <c r="A13" s="30" t="s">
        <v>190</v>
      </c>
      <c r="B13" s="27" t="s">
        <v>198</v>
      </c>
      <c r="C13" s="10" t="s">
        <v>199</v>
      </c>
      <c r="D13" s="11" t="n">
        <v>1</v>
      </c>
      <c r="E13" s="12" t="n">
        <v>149.99</v>
      </c>
      <c r="F13" s="13" t="n">
        <f aca="false">D13*E13</f>
        <v>149.99</v>
      </c>
      <c r="G13" s="28" t="s">
        <v>200</v>
      </c>
      <c r="H13" s="10" t="s">
        <v>201</v>
      </c>
    </row>
    <row r="14" customFormat="false" ht="51.75" hidden="false" customHeight="true" outlineLevel="0" collapsed="false">
      <c r="A14" s="29" t="s">
        <v>190</v>
      </c>
      <c r="B14" s="14" t="s">
        <v>198</v>
      </c>
      <c r="C14" s="5" t="s">
        <v>202</v>
      </c>
      <c r="D14" s="6" t="n">
        <v>1</v>
      </c>
      <c r="E14" s="7" t="n">
        <v>24.99</v>
      </c>
      <c r="F14" s="8" t="n">
        <f aca="false">D14*E14</f>
        <v>24.99</v>
      </c>
      <c r="G14" s="25" t="s">
        <v>76</v>
      </c>
      <c r="H14" s="5" t="s">
        <v>203</v>
      </c>
    </row>
    <row r="15" customFormat="false" ht="51.75" hidden="false" customHeight="true" outlineLevel="0" collapsed="false">
      <c r="A15" s="30" t="s">
        <v>190</v>
      </c>
      <c r="B15" s="27" t="s">
        <v>40</v>
      </c>
      <c r="C15" s="10" t="s">
        <v>204</v>
      </c>
      <c r="D15" s="11" t="n">
        <v>1</v>
      </c>
      <c r="E15" s="12" t="n">
        <v>89.99</v>
      </c>
      <c r="F15" s="13" t="n">
        <f aca="false">D15*E15</f>
        <v>89.99</v>
      </c>
      <c r="G15" s="28" t="s">
        <v>205</v>
      </c>
      <c r="H15" s="10" t="s">
        <v>206</v>
      </c>
    </row>
    <row r="16" customFormat="false" ht="51.75" hidden="false" customHeight="true" outlineLevel="0" collapsed="false">
      <c r="A16" s="29" t="s">
        <v>190</v>
      </c>
      <c r="B16" s="14" t="s">
        <v>207</v>
      </c>
      <c r="C16" s="5" t="s">
        <v>208</v>
      </c>
      <c r="D16" s="6" t="n">
        <v>1</v>
      </c>
      <c r="E16" s="7" t="n">
        <v>34.99</v>
      </c>
      <c r="F16" s="8" t="n">
        <f aca="false">D16*E16</f>
        <v>34.99</v>
      </c>
      <c r="G16" s="25" t="s">
        <v>76</v>
      </c>
      <c r="H16" s="5" t="s">
        <v>209</v>
      </c>
    </row>
    <row r="17" customFormat="false" ht="51.75" hidden="false" customHeight="true" outlineLevel="0" collapsed="false">
      <c r="A17" s="30" t="s">
        <v>190</v>
      </c>
      <c r="B17" s="27" t="s">
        <v>207</v>
      </c>
      <c r="C17" s="10" t="s">
        <v>210</v>
      </c>
      <c r="D17" s="11" t="n">
        <v>1</v>
      </c>
      <c r="E17" s="12" t="n">
        <v>149.99</v>
      </c>
      <c r="F17" s="13" t="n">
        <f aca="false">D17*E17</f>
        <v>149.99</v>
      </c>
      <c r="G17" s="28" t="s">
        <v>211</v>
      </c>
      <c r="H17" s="10" t="s">
        <v>212</v>
      </c>
    </row>
    <row r="18" customFormat="false" ht="51.75" hidden="false" customHeight="true" outlineLevel="0" collapsed="false">
      <c r="A18" s="31" t="s">
        <v>213</v>
      </c>
      <c r="B18" s="14" t="s">
        <v>104</v>
      </c>
      <c r="C18" s="5" t="s">
        <v>214</v>
      </c>
      <c r="D18" s="6" t="n">
        <v>1</v>
      </c>
      <c r="E18" s="7" t="n">
        <v>39.99</v>
      </c>
      <c r="F18" s="8" t="n">
        <f aca="false">D18*E18</f>
        <v>39.99</v>
      </c>
      <c r="G18" s="25" t="s">
        <v>76</v>
      </c>
      <c r="H18" s="5" t="s">
        <v>215</v>
      </c>
    </row>
    <row r="19" customFormat="false" ht="51.75" hidden="false" customHeight="true" outlineLevel="0" collapsed="false">
      <c r="A19" s="32" t="s">
        <v>213</v>
      </c>
      <c r="B19" s="27" t="s">
        <v>216</v>
      </c>
      <c r="C19" s="10" t="s">
        <v>217</v>
      </c>
      <c r="D19" s="11" t="n">
        <v>1</v>
      </c>
      <c r="E19" s="12" t="n">
        <v>29.99</v>
      </c>
      <c r="F19" s="13" t="n">
        <f aca="false">D19*E19</f>
        <v>29.99</v>
      </c>
      <c r="G19" s="28" t="s">
        <v>218</v>
      </c>
      <c r="H19" s="10" t="s">
        <v>219</v>
      </c>
    </row>
    <row r="20" customFormat="false" ht="51.75" hidden="false" customHeight="true" outlineLevel="0" collapsed="false">
      <c r="A20" s="31" t="s">
        <v>213</v>
      </c>
      <c r="B20" s="14" t="s">
        <v>220</v>
      </c>
      <c r="C20" s="5" t="s">
        <v>221</v>
      </c>
      <c r="D20" s="6" t="n">
        <v>1</v>
      </c>
      <c r="E20" s="7" t="n">
        <v>49.99</v>
      </c>
      <c r="F20" s="8" t="n">
        <f aca="false">D20*E20</f>
        <v>49.99</v>
      </c>
      <c r="G20" s="25" t="s">
        <v>222</v>
      </c>
      <c r="H20" s="5" t="s">
        <v>223</v>
      </c>
    </row>
    <row r="21" customFormat="false" ht="51.75" hidden="false" customHeight="true" outlineLevel="0" collapsed="false">
      <c r="A21" s="32" t="s">
        <v>213</v>
      </c>
      <c r="B21" s="27" t="s">
        <v>224</v>
      </c>
      <c r="C21" s="10" t="s">
        <v>225</v>
      </c>
      <c r="D21" s="11" t="n">
        <v>1</v>
      </c>
      <c r="E21" s="12" t="n">
        <v>199.99</v>
      </c>
      <c r="F21" s="13" t="n">
        <f aca="false">D21*E21</f>
        <v>199.99</v>
      </c>
      <c r="G21" s="28" t="s">
        <v>226</v>
      </c>
      <c r="H21" s="10" t="s">
        <v>227</v>
      </c>
    </row>
    <row r="22" customFormat="false" ht="51.75" hidden="false" customHeight="true" outlineLevel="0" collapsed="false">
      <c r="A22" s="31" t="s">
        <v>213</v>
      </c>
      <c r="B22" s="14" t="s">
        <v>40</v>
      </c>
      <c r="C22" s="5" t="s">
        <v>228</v>
      </c>
      <c r="D22" s="6" t="n">
        <v>1</v>
      </c>
      <c r="E22" s="7" t="n">
        <v>499.99</v>
      </c>
      <c r="F22" s="8" t="n">
        <f aca="false">D22*E22</f>
        <v>499.99</v>
      </c>
      <c r="G22" s="25" t="s">
        <v>229</v>
      </c>
      <c r="H22" s="5" t="s">
        <v>230</v>
      </c>
    </row>
    <row r="23" customFormat="false" ht="21.75" hidden="false" customHeight="true" outlineLevel="0" collapsed="false">
      <c r="A23" s="33" t="s">
        <v>231</v>
      </c>
      <c r="B23" s="33"/>
      <c r="C23" s="33"/>
      <c r="D23" s="33"/>
      <c r="E23" s="33"/>
      <c r="F23" s="19" t="n">
        <f aca="false">SUM(F4:F22)</f>
        <v>1527.8</v>
      </c>
      <c r="G23" s="18"/>
      <c r="H23" s="18"/>
    </row>
    <row r="25" customFormat="false" ht="18" hidden="false" customHeight="true" outlineLevel="0" collapsed="false">
      <c r="A25" s="20" t="s">
        <v>232</v>
      </c>
      <c r="B25" s="20"/>
      <c r="C25" s="20"/>
      <c r="D25" s="20"/>
      <c r="E25" s="20"/>
      <c r="F25" s="20"/>
      <c r="G25" s="20"/>
      <c r="H25" s="20"/>
    </row>
  </sheetData>
  <mergeCells count="4">
    <mergeCell ref="A1:H1"/>
    <mergeCell ref="A2:H2"/>
    <mergeCell ref="A23:E23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9C068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34" t="s">
        <v>233</v>
      </c>
      <c r="B1" s="34"/>
      <c r="C1" s="34"/>
      <c r="D1" s="34"/>
      <c r="E1" s="34"/>
    </row>
    <row r="2" customFormat="false" ht="18" hidden="false" customHeight="true" outlineLevel="0" collapsed="false">
      <c r="A2" s="2" t="s">
        <v>234</v>
      </c>
      <c r="B2" s="2"/>
      <c r="C2" s="2"/>
      <c r="D2" s="2"/>
      <c r="E2" s="2"/>
    </row>
    <row r="3" customFormat="false" ht="27.75" hidden="false" customHeight="true" outlineLevel="0" collapsed="false">
      <c r="A3" s="35" t="s">
        <v>2</v>
      </c>
      <c r="B3" s="35" t="s">
        <v>235</v>
      </c>
      <c r="C3" s="35" t="s">
        <v>57</v>
      </c>
    </row>
    <row r="4" customFormat="false" ht="24" hidden="false" customHeight="true" outlineLevel="0" collapsed="false">
      <c r="A4" s="36" t="s">
        <v>236</v>
      </c>
      <c r="B4" s="37" t="n">
        <f aca="false">'Equipment (Owned)'!K9</f>
        <v>2228.95</v>
      </c>
      <c r="C4" s="5" t="s">
        <v>237</v>
      </c>
    </row>
    <row r="5" customFormat="false" ht="24" hidden="false" customHeight="true" outlineLevel="0" collapsed="false">
      <c r="A5" s="38" t="s">
        <v>238</v>
      </c>
      <c r="B5" s="39" t="n">
        <f aca="false">'Platform Materials'!G28</f>
        <v>905</v>
      </c>
      <c r="C5" s="10" t="s">
        <v>239</v>
      </c>
    </row>
    <row r="6" customFormat="false" ht="24" hidden="false" customHeight="true" outlineLevel="0" collapsed="false">
      <c r="A6" s="36" t="s">
        <v>240</v>
      </c>
      <c r="B6" s="37" t="n">
        <f aca="false">'Accessories &amp; Add-ons'!F23</f>
        <v>1527.8</v>
      </c>
      <c r="C6" s="5" t="s">
        <v>241</v>
      </c>
    </row>
    <row r="7" customFormat="false" ht="27.75" hidden="false" customHeight="true" outlineLevel="0" collapsed="false">
      <c r="A7" s="40" t="s">
        <v>242</v>
      </c>
      <c r="B7" s="41" t="n">
        <f aca="false">SUM(B4:B6)</f>
        <v>4661.75</v>
      </c>
      <c r="C7" s="42" t="s">
        <v>243</v>
      </c>
    </row>
    <row r="8" customFormat="false" ht="24" hidden="false" customHeight="true" outlineLevel="0" collapsed="false">
      <c r="A8" s="43" t="s">
        <v>244</v>
      </c>
      <c r="B8" s="44" t="n">
        <f aca="false">'Equipment (Owned)'!K9</f>
        <v>2228.95</v>
      </c>
      <c r="C8" s="43" t="s">
        <v>245</v>
      </c>
    </row>
    <row r="9" customFormat="false" ht="24" hidden="false" customHeight="true" outlineLevel="0" collapsed="false">
      <c r="A9" s="45" t="s">
        <v>246</v>
      </c>
      <c r="B9" s="46" t="n">
        <f aca="false">B7-B8</f>
        <v>2432.8</v>
      </c>
      <c r="C9" s="47" t="s">
        <v>247</v>
      </c>
    </row>
    <row r="12" customFormat="false" ht="24" hidden="false" customHeight="true" outlineLevel="0" collapsed="false">
      <c r="A12" s="48" t="s">
        <v>248</v>
      </c>
      <c r="B12" s="48"/>
      <c r="C12" s="48"/>
      <c r="D12" s="48"/>
      <c r="E12" s="48"/>
    </row>
    <row r="13" customFormat="false" ht="24" hidden="false" customHeight="true" outlineLevel="0" collapsed="false">
      <c r="A13" s="3" t="s">
        <v>249</v>
      </c>
      <c r="B13" s="3" t="s">
        <v>250</v>
      </c>
      <c r="C13" s="3" t="s">
        <v>251</v>
      </c>
      <c r="D13" s="3" t="s">
        <v>252</v>
      </c>
      <c r="E13" s="3" t="s">
        <v>57</v>
      </c>
    </row>
    <row r="14" customFormat="false" ht="19.5" hidden="false" customHeight="true" outlineLevel="0" collapsed="false">
      <c r="A14" s="5" t="s">
        <v>253</v>
      </c>
      <c r="B14" s="49" t="n">
        <v>40</v>
      </c>
      <c r="C14" s="49" t="n">
        <v>24</v>
      </c>
      <c r="D14" s="50" t="n">
        <f aca="false">B14*C14</f>
        <v>960</v>
      </c>
      <c r="E14" s="5" t="s">
        <v>254</v>
      </c>
    </row>
    <row r="15" customFormat="false" ht="19.5" hidden="false" customHeight="true" outlineLevel="0" collapsed="false">
      <c r="A15" s="10" t="s">
        <v>255</v>
      </c>
      <c r="B15" s="51" t="n">
        <v>25</v>
      </c>
      <c r="C15" s="51" t="n">
        <v>8</v>
      </c>
      <c r="D15" s="52" t="n">
        <f aca="false">B15*C15</f>
        <v>200</v>
      </c>
      <c r="E15" s="10" t="s">
        <v>256</v>
      </c>
    </row>
    <row r="16" customFormat="false" ht="19.5" hidden="false" customHeight="true" outlineLevel="0" collapsed="false">
      <c r="A16" s="5" t="s">
        <v>257</v>
      </c>
      <c r="B16" s="49" t="n">
        <v>60</v>
      </c>
      <c r="C16" s="49" t="n">
        <v>6</v>
      </c>
      <c r="D16" s="50" t="n">
        <f aca="false">B16*C16</f>
        <v>360</v>
      </c>
      <c r="E16" s="5" t="s">
        <v>258</v>
      </c>
    </row>
    <row r="17" customFormat="false" ht="19.5" hidden="false" customHeight="true" outlineLevel="0" collapsed="false">
      <c r="A17" s="10" t="s">
        <v>259</v>
      </c>
      <c r="B17" s="51" t="n">
        <v>10</v>
      </c>
      <c r="C17" s="51" t="n">
        <v>6</v>
      </c>
      <c r="D17" s="52" t="n">
        <f aca="false">B17*C17</f>
        <v>60</v>
      </c>
      <c r="E17" s="10" t="s">
        <v>260</v>
      </c>
    </row>
    <row r="18" customFormat="false" ht="19.5" hidden="false" customHeight="true" outlineLevel="0" collapsed="false">
      <c r="A18" s="5" t="s">
        <v>261</v>
      </c>
      <c r="B18" s="49" t="n">
        <v>8</v>
      </c>
      <c r="C18" s="49" t="n">
        <v>4</v>
      </c>
      <c r="D18" s="50" t="n">
        <f aca="false">B18*C18</f>
        <v>32</v>
      </c>
      <c r="E18" s="5" t="s">
        <v>262</v>
      </c>
    </row>
    <row r="19" customFormat="false" ht="19.5" hidden="false" customHeight="true" outlineLevel="0" collapsed="false">
      <c r="A19" s="10" t="s">
        <v>263</v>
      </c>
      <c r="B19" s="51" t="n">
        <v>5</v>
      </c>
      <c r="C19" s="51" t="n">
        <v>8</v>
      </c>
      <c r="D19" s="52" t="n">
        <f aca="false">B19*C19</f>
        <v>40</v>
      </c>
      <c r="E19" s="10" t="s">
        <v>264</v>
      </c>
    </row>
    <row r="20" customFormat="false" ht="19.5" hidden="false" customHeight="true" outlineLevel="0" collapsed="false">
      <c r="A20" s="5" t="s">
        <v>265</v>
      </c>
      <c r="B20" s="49" t="n">
        <v>10</v>
      </c>
      <c r="C20" s="49" t="n">
        <v>4</v>
      </c>
      <c r="D20" s="50" t="n">
        <f aca="false">B20*C20</f>
        <v>40</v>
      </c>
      <c r="E20" s="5" t="s">
        <v>266</v>
      </c>
    </row>
    <row r="21" customFormat="false" ht="24" hidden="false" customHeight="true" outlineLevel="0" collapsed="false">
      <c r="A21" s="53" t="s">
        <v>267</v>
      </c>
      <c r="B21" s="18"/>
      <c r="C21" s="18"/>
      <c r="D21" s="54" t="n">
        <f aca="false">SUM(D14:D20)</f>
        <v>1692</v>
      </c>
    </row>
    <row r="22" customFormat="false" ht="19.5" hidden="false" customHeight="true" outlineLevel="0" collapsed="false">
      <c r="A22" s="55" t="s">
        <v>268</v>
      </c>
      <c r="B22" s="56"/>
      <c r="C22" s="56"/>
      <c r="D22" s="57" t="n">
        <f aca="false">2042/D21</f>
        <v>1.20685579196218</v>
      </c>
      <c r="E22" s="43" t="s">
        <v>269</v>
      </c>
    </row>
    <row r="23" customFormat="false" ht="19.5" hidden="false" customHeight="true" outlineLevel="0" collapsed="false">
      <c r="A23" s="58" t="s">
        <v>270</v>
      </c>
      <c r="B23" s="56"/>
      <c r="C23" s="56"/>
      <c r="D23" s="59" t="n">
        <f aca="false">3112/D21</f>
        <v>1.83924349881797</v>
      </c>
      <c r="E23" s="43" t="s">
        <v>271</v>
      </c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2026-03-03T18:59:15Z</dcterms:created>
  <dc:creator>openpyxl</dc:creator>
  <dc:description/>
  <dc:language>en-US</dc:language>
  <cp:lastModifiedBy/>
  <dcterms:modified xsi:type="dcterms:W3CDTF">2026-03-03T18:59:15Z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